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xr:revisionPtr revIDLastSave="0" documentId="8_{045023D7-5FF0-4F55-AF5B-57EEAF96FD9B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DonBan" sheetId="1" r:id="rId1"/>
    <sheet name="SanPham" sheetId="2" r:id="rId2"/>
  </sheets>
  <definedNames>
    <definedName name="_xlnm._FilterDatabase" localSheetId="0" hidden="1">DonBan!$G$1:$G$16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F2" i="1"/>
  <c r="E2" i="1"/>
</calcChain>
</file>

<file path=xl/sharedStrings.xml><?xml version="1.0" encoding="utf-8"?>
<sst xmlns="http://schemas.openxmlformats.org/spreadsheetml/2006/main" count="69" uniqueCount="51">
  <si>
    <t>ma_db</t>
  </si>
  <si>
    <t>ngay_ban</t>
  </si>
  <si>
    <t>ma_sp</t>
  </si>
  <si>
    <t>sl_ban</t>
  </si>
  <si>
    <t>ten_sp</t>
  </si>
  <si>
    <t>gia_ban</t>
  </si>
  <si>
    <t>tien_ban</t>
  </si>
  <si>
    <t>DB001</t>
  </si>
  <si>
    <t>2025-10-01</t>
  </si>
  <si>
    <t>KE01</t>
  </si>
  <si>
    <t>DB002</t>
  </si>
  <si>
    <t>2025-10-02</t>
  </si>
  <si>
    <t>BA01</t>
  </si>
  <si>
    <t>DB003</t>
  </si>
  <si>
    <t>2025-10-03</t>
  </si>
  <si>
    <t>VO01</t>
  </si>
  <si>
    <t>DB004</t>
  </si>
  <si>
    <t>2025-10-04</t>
  </si>
  <si>
    <t>DB005</t>
  </si>
  <si>
    <t>2025-10-05</t>
  </si>
  <si>
    <t>BB01</t>
  </si>
  <si>
    <t>DB006</t>
  </si>
  <si>
    <t>2025-10-06</t>
  </si>
  <si>
    <t>DB007</t>
  </si>
  <si>
    <t>2025-10-07</t>
  </si>
  <si>
    <t>DB008</t>
  </si>
  <si>
    <t>2025-10-08</t>
  </si>
  <si>
    <t>DB009</t>
  </si>
  <si>
    <t>2025-10-09</t>
  </si>
  <si>
    <t>DB010</t>
  </si>
  <si>
    <t>2025-10-10</t>
  </si>
  <si>
    <t>MT01</t>
  </si>
  <si>
    <t>DB011</t>
  </si>
  <si>
    <t>2025-10-11</t>
  </si>
  <si>
    <t>GI01</t>
  </si>
  <si>
    <t>DB012</t>
  </si>
  <si>
    <t>2025-10-12</t>
  </si>
  <si>
    <t>DB013</t>
  </si>
  <si>
    <t>2025-10-13</t>
  </si>
  <si>
    <t>DB014</t>
  </si>
  <si>
    <t>2025-10-14</t>
  </si>
  <si>
    <t>DB015</t>
  </si>
  <si>
    <t>2025-10-15</t>
  </si>
  <si>
    <t>HO01</t>
  </si>
  <si>
    <t>Bo but bi 10 chiec</t>
  </si>
  <si>
    <t>Loc vo 5 quyen</t>
  </si>
  <si>
    <t>Giay A4 500 to</t>
  </si>
  <si>
    <t>Balo hoc sinh</t>
  </si>
  <si>
    <t>May tinh bo tui</t>
  </si>
  <si>
    <t>Ke sach mini</t>
  </si>
  <si>
    <t>Hop but da nang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</si>
</sst>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16"/>
  <sheetViews>
    <sheetView tabSelected="1" topLeftCell="B1" workbookViewId="0">
      <selection activeCell="G1" sqref="G1:G1048576"/>
    </sheetView>
  </sheetViews>
  <sheetFormatPr defaultRowHeight="15"/>
  <cols>
    <col min="1" max="7" width="1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>
        <v>4</v>
      </c>
      <c r="E2" t="str">
        <f>VLOOKUP(C2,SanPham!$A$1:$C$8, 2, FALSE)</f>
        <v>Ke sach mini</v>
      </c>
      <c r="F2">
        <f>VLOOKUP(C2, SanPham!$A$1:$C$8, 3, FALSE)</f>
        <v>100000</v>
      </c>
      <c r="G2">
        <f>D2*F2</f>
        <v>400000</v>
      </c>
    </row>
    <row r="3" spans="1:7">
      <c r="A3" t="s">
        <v>10</v>
      </c>
      <c r="B3" t="s">
        <v>11</v>
      </c>
      <c r="C3" t="s">
        <v>12</v>
      </c>
      <c r="D3">
        <v>4</v>
      </c>
      <c r="E3" t="str">
        <f>VLOOKUP(C3,SanPham!$A$1:$C$8, 2, FALSE)</f>
        <v>Balo hoc sinh</v>
      </c>
      <c r="F3">
        <f>VLOOKUP(C3, SanPham!$A$1:$C$8, 3, FALSE)</f>
        <v>250000</v>
      </c>
      <c r="G3">
        <f t="shared" ref="G3:G16" si="0">D3*F3</f>
        <v>1000000</v>
      </c>
    </row>
    <row r="4" spans="1:7" hidden="1">
      <c r="A4" t="s">
        <v>13</v>
      </c>
      <c r="B4" t="s">
        <v>14</v>
      </c>
      <c r="C4" t="s">
        <v>15</v>
      </c>
      <c r="D4">
        <v>2</v>
      </c>
      <c r="E4" t="str">
        <f>VLOOKUP(C4,SanPham!$A$1:$C$8, 2, FALSE)</f>
        <v>Loc vo 5 quyen</v>
      </c>
      <c r="F4">
        <f>VLOOKUP(C4, SanPham!$A$1:$C$8, 3, FALSE)</f>
        <v>60000</v>
      </c>
      <c r="G4">
        <f t="shared" si="0"/>
        <v>120000</v>
      </c>
    </row>
    <row r="5" spans="1:7">
      <c r="A5" t="s">
        <v>16</v>
      </c>
      <c r="B5" t="s">
        <v>17</v>
      </c>
      <c r="C5" t="s">
        <v>9</v>
      </c>
      <c r="D5">
        <v>5</v>
      </c>
      <c r="E5" t="str">
        <f>VLOOKUP(C5,SanPham!$A$1:$C$8, 2, FALSE)</f>
        <v>Ke sach mini</v>
      </c>
      <c r="F5">
        <f>VLOOKUP(C5, SanPham!$A$1:$C$8, 3, FALSE)</f>
        <v>100000</v>
      </c>
      <c r="G5">
        <f t="shared" si="0"/>
        <v>500000</v>
      </c>
    </row>
    <row r="6" spans="1:7" hidden="1">
      <c r="A6" t="s">
        <v>18</v>
      </c>
      <c r="B6" t="s">
        <v>19</v>
      </c>
      <c r="C6" t="s">
        <v>20</v>
      </c>
      <c r="D6">
        <v>1</v>
      </c>
      <c r="E6" t="str">
        <f>VLOOKUP(C6,SanPham!$A$1:$C$8, 2, FALSE)</f>
        <v>Bo but bi 10 chiec</v>
      </c>
      <c r="F6">
        <f>VLOOKUP(C6, SanPham!$A$1:$C$8, 3, FALSE)</f>
        <v>35000</v>
      </c>
      <c r="G6">
        <f t="shared" si="0"/>
        <v>35000</v>
      </c>
    </row>
    <row r="7" spans="1:7" hidden="1">
      <c r="A7" t="s">
        <v>21</v>
      </c>
      <c r="B7" t="s">
        <v>22</v>
      </c>
      <c r="C7" t="s">
        <v>20</v>
      </c>
      <c r="D7">
        <v>4</v>
      </c>
      <c r="E7" t="str">
        <f>VLOOKUP(C7,SanPham!$A$1:$C$8, 2, FALSE)</f>
        <v>Bo but bi 10 chiec</v>
      </c>
      <c r="F7">
        <f>VLOOKUP(C7, SanPham!$A$1:$C$8, 3, FALSE)</f>
        <v>35000</v>
      </c>
      <c r="G7">
        <f t="shared" si="0"/>
        <v>140000</v>
      </c>
    </row>
    <row r="8" spans="1:7">
      <c r="A8" t="s">
        <v>23</v>
      </c>
      <c r="B8" t="s">
        <v>24</v>
      </c>
      <c r="C8" t="s">
        <v>12</v>
      </c>
      <c r="D8">
        <v>5</v>
      </c>
      <c r="E8" t="str">
        <f>VLOOKUP(C8,SanPham!$A$1:$C$8, 2, FALSE)</f>
        <v>Balo hoc sinh</v>
      </c>
      <c r="F8">
        <f>VLOOKUP(C8, SanPham!$A$1:$C$8, 3, FALSE)</f>
        <v>250000</v>
      </c>
      <c r="G8">
        <f t="shared" si="0"/>
        <v>1250000</v>
      </c>
    </row>
    <row r="9" spans="1:7" hidden="1">
      <c r="A9" t="s">
        <v>25</v>
      </c>
      <c r="B9" t="s">
        <v>26</v>
      </c>
      <c r="C9" t="s">
        <v>15</v>
      </c>
      <c r="D9">
        <v>3</v>
      </c>
      <c r="E9" t="str">
        <f>VLOOKUP(C9,SanPham!$A$1:$C$8, 2, FALSE)</f>
        <v>Loc vo 5 quyen</v>
      </c>
      <c r="F9">
        <f>VLOOKUP(C9, SanPham!$A$1:$C$8, 3, FALSE)</f>
        <v>60000</v>
      </c>
      <c r="G9">
        <f t="shared" si="0"/>
        <v>180000</v>
      </c>
    </row>
    <row r="10" spans="1:7">
      <c r="A10" t="s">
        <v>27</v>
      </c>
      <c r="B10" t="s">
        <v>28</v>
      </c>
      <c r="C10" t="s">
        <v>12</v>
      </c>
      <c r="D10">
        <v>2</v>
      </c>
      <c r="E10" t="str">
        <f>VLOOKUP(C10,SanPham!$A$1:$C$8, 2, FALSE)</f>
        <v>Balo hoc sinh</v>
      </c>
      <c r="F10">
        <f>VLOOKUP(C10, SanPham!$A$1:$C$8, 3, FALSE)</f>
        <v>250000</v>
      </c>
      <c r="G10">
        <f t="shared" si="0"/>
        <v>500000</v>
      </c>
    </row>
    <row r="11" spans="1:7">
      <c r="A11" t="s">
        <v>29</v>
      </c>
      <c r="B11" t="s">
        <v>30</v>
      </c>
      <c r="C11" t="s">
        <v>31</v>
      </c>
      <c r="D11">
        <v>2</v>
      </c>
      <c r="E11" t="str">
        <f>VLOOKUP(C11,SanPham!$A$1:$C$8, 2, FALSE)</f>
        <v>May tinh bo tui</v>
      </c>
      <c r="F11">
        <f>VLOOKUP(C11, SanPham!$A$1:$C$8, 3, FALSE)</f>
        <v>150000</v>
      </c>
      <c r="G11">
        <f t="shared" si="0"/>
        <v>300000</v>
      </c>
    </row>
    <row r="12" spans="1:7" hidden="1">
      <c r="A12" t="s">
        <v>32</v>
      </c>
      <c r="B12" t="s">
        <v>33</v>
      </c>
      <c r="C12" t="s">
        <v>34</v>
      </c>
      <c r="D12">
        <v>2</v>
      </c>
      <c r="E12" t="str">
        <f>VLOOKUP(C12,SanPham!$A$1:$C$8, 2, FALSE)</f>
        <v>Giay A4 500 to</v>
      </c>
      <c r="F12">
        <f>VLOOKUP(C12, SanPham!$A$1:$C$8, 3, FALSE)</f>
        <v>75000</v>
      </c>
      <c r="G12">
        <f t="shared" si="0"/>
        <v>150000</v>
      </c>
    </row>
    <row r="13" spans="1:7" hidden="1">
      <c r="A13" t="s">
        <v>35</v>
      </c>
      <c r="B13" t="s">
        <v>36</v>
      </c>
      <c r="C13" t="s">
        <v>15</v>
      </c>
      <c r="D13">
        <v>3</v>
      </c>
      <c r="E13" t="str">
        <f>VLOOKUP(C13,SanPham!$A$1:$C$8, 2, FALSE)</f>
        <v>Loc vo 5 quyen</v>
      </c>
      <c r="F13">
        <f>VLOOKUP(C13, SanPham!$A$1:$C$8, 3, FALSE)</f>
        <v>60000</v>
      </c>
      <c r="G13">
        <f t="shared" si="0"/>
        <v>180000</v>
      </c>
    </row>
    <row r="14" spans="1:7" hidden="1">
      <c r="A14" t="s">
        <v>37</v>
      </c>
      <c r="B14" t="s">
        <v>38</v>
      </c>
      <c r="C14" t="s">
        <v>20</v>
      </c>
      <c r="D14">
        <v>5</v>
      </c>
      <c r="E14" t="str">
        <f>VLOOKUP(C14,SanPham!$A$1:$C$8, 2, FALSE)</f>
        <v>Bo but bi 10 chiec</v>
      </c>
      <c r="F14">
        <f>VLOOKUP(C14, SanPham!$A$1:$C$8, 3, FALSE)</f>
        <v>35000</v>
      </c>
      <c r="G14">
        <f t="shared" si="0"/>
        <v>175000</v>
      </c>
    </row>
    <row r="15" spans="1:7">
      <c r="A15" t="s">
        <v>39</v>
      </c>
      <c r="B15" t="s">
        <v>40</v>
      </c>
      <c r="C15" t="s">
        <v>9</v>
      </c>
      <c r="D15">
        <v>4</v>
      </c>
      <c r="E15" t="str">
        <f>VLOOKUP(C15,SanPham!$A$1:$C$8, 2, FALSE)</f>
        <v>Ke sach mini</v>
      </c>
      <c r="F15">
        <f>VLOOKUP(C15, SanPham!$A$1:$C$8, 3, FALSE)</f>
        <v>100000</v>
      </c>
      <c r="G15">
        <f t="shared" si="0"/>
        <v>400000</v>
      </c>
    </row>
    <row r="16" spans="1:7" hidden="1">
      <c r="A16" t="s">
        <v>41</v>
      </c>
      <c r="B16" t="s">
        <v>42</v>
      </c>
      <c r="C16" t="s">
        <v>43</v>
      </c>
      <c r="D16">
        <v>5</v>
      </c>
      <c r="E16" t="str">
        <f>VLOOKUP(C16,SanPham!$A$1:$C$8, 2, FALSE)</f>
        <v>Hop but da nang</v>
      </c>
      <c r="F16">
        <f>VLOOKUP(C16, SanPham!$A$1:$C$8, 3, FALSE)</f>
        <v>45000</v>
      </c>
      <c r="G16">
        <f t="shared" si="0"/>
        <v>225000</v>
      </c>
    </row>
  </sheetData>
  <autoFilter ref="G1:G16" xr:uid="{00000000-0001-0000-0000-000000000000}">
    <filterColumn colId="0">
      <customFilters>
        <customFilter operator="greaterThanOrEqual" val="300000"/>
      </custom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/>
  <cols>
    <col min="1" max="7" width="15" customWidth="1"/>
  </cols>
  <sheetData>
    <row r="1" spans="1:3">
      <c r="A1" t="s">
        <v>2</v>
      </c>
      <c r="B1" t="s">
        <v>4</v>
      </c>
      <c r="C1" t="s">
        <v>5</v>
      </c>
    </row>
    <row r="2" spans="1:3">
      <c r="A2" t="s">
        <v>20</v>
      </c>
      <c r="B2" t="s">
        <v>44</v>
      </c>
      <c r="C2">
        <v>35000</v>
      </c>
    </row>
    <row r="3" spans="1:3">
      <c r="A3" t="s">
        <v>15</v>
      </c>
      <c r="B3" t="s">
        <v>45</v>
      </c>
      <c r="C3">
        <v>60000</v>
      </c>
    </row>
    <row r="4" spans="1:3">
      <c r="A4" t="s">
        <v>34</v>
      </c>
      <c r="B4" t="s">
        <v>46</v>
      </c>
      <c r="C4">
        <v>75000</v>
      </c>
    </row>
    <row r="5" spans="1:3">
      <c r="A5" t="s">
        <v>12</v>
      </c>
      <c r="B5" t="s">
        <v>47</v>
      </c>
      <c r="C5">
        <v>250000</v>
      </c>
    </row>
    <row r="6" spans="1:3">
      <c r="A6" t="s">
        <v>31</v>
      </c>
      <c r="B6" t="s">
        <v>48</v>
      </c>
      <c r="C6">
        <v>150000</v>
      </c>
    </row>
    <row r="7" spans="1:3">
      <c r="A7" t="s">
        <v>9</v>
      </c>
      <c r="B7" t="s">
        <v>49</v>
      </c>
      <c r="C7">
        <v>100000</v>
      </c>
    </row>
    <row r="8" spans="1:3">
      <c r="A8" t="s">
        <v>43</v>
      </c>
      <c r="B8" t="s">
        <v>50</v>
      </c>
      <c r="C8">
        <v>45000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2026-10-19T09:41:35Z</dcterms:created>
  <dcterms:modified xsi:type="dcterms:W3CDTF">2026-10-23T03:08:52Z</dcterms:modified>
  <cp:category/>
  <cp:contentStatus/>
</cp:coreProperties>
</file>